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13_ncr:1_{C01C4551-7F8C-4A7D-A7F4-D57D85567F66}" xr6:coauthVersionLast="47" xr6:coauthVersionMax="47" xr10:uidLastSave="{00000000-0000-0000-0000-000000000000}"/>
  <bookViews>
    <workbookView xWindow="-110" yWindow="-110" windowWidth="19420" windowHeight="10300" xr2:uid="{B1D7B7BB-87F7-4572-A4EC-F45A7BA496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7" i="1" l="1"/>
  <c r="D48" i="1"/>
  <c r="D46" i="1"/>
  <c r="G4" i="1"/>
  <c r="F4" i="1"/>
  <c r="D5" i="1" l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" i="1"/>
  <c r="D42" i="1" s="1"/>
  <c r="E41" i="1" l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D44" i="1" s="1"/>
  <c r="D45" i="1" s="1"/>
  <c r="D43" i="1"/>
  <c r="F41" i="1" l="1"/>
  <c r="G41" i="1" s="1"/>
  <c r="F40" i="1"/>
  <c r="G40" i="1" s="1"/>
  <c r="F39" i="1"/>
  <c r="G39" i="1" s="1"/>
  <c r="F38" i="1"/>
  <c r="G38" i="1" s="1"/>
  <c r="F37" i="1"/>
  <c r="G37" i="1" s="1"/>
  <c r="F36" i="1"/>
  <c r="G36" i="1" s="1"/>
  <c r="F35" i="1"/>
  <c r="G35" i="1" s="1"/>
  <c r="F34" i="1"/>
  <c r="G34" i="1" s="1"/>
  <c r="F33" i="1"/>
  <c r="G33" i="1" s="1"/>
  <c r="F32" i="1"/>
  <c r="G32" i="1" s="1"/>
  <c r="F31" i="1"/>
  <c r="G31" i="1" s="1"/>
  <c r="F30" i="1"/>
  <c r="G30" i="1" s="1"/>
  <c r="F29" i="1"/>
  <c r="G29" i="1" s="1"/>
  <c r="F28" i="1"/>
  <c r="G28" i="1" s="1"/>
  <c r="F27" i="1"/>
  <c r="G27" i="1" s="1"/>
  <c r="F26" i="1"/>
  <c r="G26" i="1" s="1"/>
  <c r="F25" i="1"/>
  <c r="G25" i="1" s="1"/>
  <c r="F24" i="1"/>
  <c r="G24" i="1" s="1"/>
  <c r="F23" i="1"/>
  <c r="G23" i="1" s="1"/>
  <c r="F22" i="1"/>
  <c r="G22" i="1" s="1"/>
  <c r="F21" i="1"/>
  <c r="G21" i="1" s="1"/>
  <c r="F20" i="1"/>
  <c r="G20" i="1" s="1"/>
  <c r="F19" i="1"/>
  <c r="G19" i="1" s="1"/>
  <c r="F18" i="1"/>
  <c r="G18" i="1" s="1"/>
  <c r="F17" i="1"/>
  <c r="G17" i="1" s="1"/>
  <c r="F16" i="1"/>
  <c r="G16" i="1" s="1"/>
  <c r="F15" i="1"/>
  <c r="G15" i="1" s="1"/>
  <c r="F14" i="1"/>
  <c r="G14" i="1" s="1"/>
  <c r="F13" i="1"/>
  <c r="G13" i="1" s="1"/>
  <c r="F12" i="1"/>
  <c r="G12" i="1" s="1"/>
  <c r="F11" i="1"/>
  <c r="G11" i="1" s="1"/>
  <c r="F10" i="1"/>
  <c r="G10" i="1" s="1"/>
  <c r="F9" i="1"/>
  <c r="G9" i="1" s="1"/>
  <c r="F8" i="1"/>
  <c r="G8" i="1" s="1"/>
  <c r="F7" i="1"/>
  <c r="G7" i="1" s="1"/>
  <c r="F6" i="1"/>
  <c r="G6" i="1" s="1"/>
  <c r="F5" i="1"/>
  <c r="G5" i="1" s="1"/>
</calcChain>
</file>

<file path=xl/sharedStrings.xml><?xml version="1.0" encoding="utf-8"?>
<sst xmlns="http://schemas.openxmlformats.org/spreadsheetml/2006/main" count="53" uniqueCount="46">
  <si>
    <t>Kabupaten/Kota</t>
  </si>
  <si>
    <t>Persentase Kemiskinan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</si>
  <si>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</si>
  <si>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</si>
  <si>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</si>
  <si>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</si>
  <si>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</si>
  <si>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</si>
  <si>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</si>
  <si>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</si>
  <si>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</si>
  <si>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</si>
  <si>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</si>
  <si>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</si>
  <si>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</si>
  <si>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</si>
  <si>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</si>
  <si>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</si>
  <si>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</si>
  <si>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</si>
  <si>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</si>
  <si>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</si>
  <si>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</si>
  <si>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</si>
  <si>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</si>
  <si>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</si>
  <si>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</si>
  <si>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</si>
  <si>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</si>
  <si>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</si>
  <si>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</si>
  <si>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Surabaya</t>
  </si>
  <si>
    <t>Batu</t>
  </si>
  <si>
    <t>Jumlah Kemiskinan di Jawa Timur Tahun 2023</t>
  </si>
  <si>
    <t xml:space="preserve">Pasuruan </t>
  </si>
  <si>
    <t>Jumlah Penduduk (Jiwa)</t>
  </si>
  <si>
    <t>Kemiskinan (Ribuan)</t>
  </si>
  <si>
    <t>Proporsi</t>
  </si>
  <si>
    <t>xi-xbar</t>
  </si>
  <si>
    <t>(xi-xbar)^2</t>
  </si>
  <si>
    <t>Total</t>
  </si>
  <si>
    <t>Rata-rata</t>
  </si>
  <si>
    <t>Total Proporsi</t>
  </si>
  <si>
    <t>Total S^2</t>
  </si>
  <si>
    <t>S^2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</si>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</sst>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#,##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0" fontId="3" fillId="0" borderId="1" xfId="0" applyFont="1" applyBorder="1"/>
    <xf numFmtId="0" fontId="2" fillId="0" borderId="0" xfId="0" applyFont="1"/>
    <xf numFmtId="164" fontId="3" fillId="0" borderId="0" xfId="1" applyNumberFormat="1" applyFont="1"/>
    <xf numFmtId="2" fontId="3" fillId="0" borderId="0" xfId="0" applyNumberFormat="1" applyFont="1"/>
    <xf numFmtId="164" fontId="2" fillId="2" borderId="1" xfId="1" applyNumberFormat="1" applyFont="1" applyFill="1" applyBorder="1" applyAlignment="1">
      <alignment horizontal="center"/>
    </xf>
    <xf numFmtId="43" fontId="2" fillId="2" borderId="1" xfId="1" applyFont="1" applyFill="1" applyBorder="1" applyAlignment="1">
      <alignment horizontal="center"/>
    </xf>
    <xf numFmtId="2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/>
    <xf numFmtId="2" fontId="2" fillId="0" borderId="0" xfId="0" applyNumberFormat="1" applyFont="1"/>
    <xf numFmtId="0" fontId="3" fillId="0" borderId="0" xfId="0" applyFont="1"/>
    <xf numFmtId="2" fontId="3" fillId="0" borderId="1" xfId="0" applyNumberFormat="1" applyFont="1" applyBorder="1"/>
    <xf numFmtId="43" fontId="2" fillId="0" borderId="0" xfId="1" applyFont="1"/>
    <xf numFmtId="43" fontId="3" fillId="0" borderId="1" xfId="1" applyFont="1" applyBorder="1"/>
    <xf numFmtId="43" fontId="2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004F4-ED06-4E81-A4AE-1335567CA666}">
  <dimension ref="A1:G48"/>
  <sheetViews>
    <sheetView tabSelected="1" topLeftCell="A36" workbookViewId="0">
      <selection activeCell="D48" sqref="D48"/>
    </sheetView>
  </sheetViews>
  <sheetFormatPr defaultRowHeight="15.5" x14ac:dyDescent="0.35"/>
  <cols>
    <col min="1" max="1" width="16.54296875" style="12" bestFit="1" customWidth="1"/>
    <col min="2" max="2" width="25.90625" style="12" bestFit="1" customWidth="1"/>
    <col min="3" max="3" width="22.81640625" style="12" bestFit="1" customWidth="1"/>
    <col min="4" max="4" width="22.54296875" style="12" bestFit="1" customWidth="1"/>
    <col min="5" max="5" width="10.453125" style="12" bestFit="1" customWidth="1"/>
    <col min="6" max="6" width="13.90625" style="12" customWidth="1"/>
    <col min="7" max="7" width="11.453125" style="12" bestFit="1" customWidth="1"/>
    <col min="8" max="16384" width="8.7265625" style="12"/>
  </cols>
  <sheetData>
    <row r="1" spans="1:7" x14ac:dyDescent="0.35">
      <c r="A1" s="4" t="s">
        <v>33</v>
      </c>
      <c r="B1" s="5"/>
      <c r="C1" s="6"/>
    </row>
    <row r="3" spans="1:7" x14ac:dyDescent="0.35">
      <c r="A3" s="1" t="s">
        <v>0</v>
      </c>
      <c r="B3" s="7" t="s">
        <v>35</v>
      </c>
      <c r="C3" s="2" t="s">
        <v>1</v>
      </c>
      <c r="D3" s="8" t="s">
        <v>36</v>
      </c>
      <c r="E3" s="8" t="s">
        <v>37</v>
      </c>
      <c r="F3" s="1" t="s">
        <v>38</v>
      </c>
      <c r="G3" s="1" t="s">
        <v>39</v>
      </c>
    </row>
    <row r="4" spans="1:7" x14ac:dyDescent="0.35">
      <c r="A4" s="3" t="s">
        <v>28</v>
      </c>
      <c r="B4" s="3">
        <v>588</v>
      </c>
      <c r="C4" s="9">
        <v>20.83</v>
      </c>
      <c r="D4" s="15">
        <f>C4*B4/100</f>
        <v>122.48039999999999</v>
      </c>
      <c r="E4" s="13">
        <f>D4/B4</f>
        <v>0.20829999999999999</v>
      </c>
      <c r="F4" s="15">
        <f>D4-$D$43</f>
        <v>-99.32147435897447</v>
      </c>
      <c r="G4" s="15">
        <f>F4^2</f>
        <v>9864.755268840423</v>
      </c>
    </row>
    <row r="5" spans="1:7" x14ac:dyDescent="0.35">
      <c r="A5" s="3" t="s">
        <v>27</v>
      </c>
      <c r="B5" s="3">
        <v>959.5</v>
      </c>
      <c r="C5" s="9">
        <v>18.66</v>
      </c>
      <c r="D5" s="15">
        <f t="shared" ref="D5:D41" si="0">C5*B5/100</f>
        <v>179.0427</v>
      </c>
      <c r="E5" s="13">
        <f t="shared" ref="E5:E41" si="1">D5/B5</f>
        <v>0.18659999999999999</v>
      </c>
      <c r="F5" s="15">
        <f t="shared" ref="F5:F41" si="2">D5-$D$43</f>
        <v>-42.759174358974462</v>
      </c>
      <c r="G5" s="15">
        <f t="shared" ref="G5:G41" si="3">F5^2</f>
        <v>1828.346991861179</v>
      </c>
    </row>
    <row r="6" spans="1:7" x14ac:dyDescent="0.35">
      <c r="A6" s="3" t="s">
        <v>30</v>
      </c>
      <c r="B6" s="3">
        <v>741.2</v>
      </c>
      <c r="C6" s="9">
        <v>17.78</v>
      </c>
      <c r="D6" s="15">
        <f t="shared" si="0"/>
        <v>131.78536000000003</v>
      </c>
      <c r="E6" s="13">
        <f t="shared" si="1"/>
        <v>0.17780000000000001</v>
      </c>
      <c r="F6" s="15">
        <f t="shared" si="2"/>
        <v>-90.016514358974433</v>
      </c>
      <c r="G6" s="15">
        <f t="shared" si="3"/>
        <v>8102.9728573394505</v>
      </c>
    </row>
    <row r="7" spans="1:7" x14ac:dyDescent="0.35">
      <c r="A7" s="3" t="s">
        <v>14</v>
      </c>
      <c r="B7" s="10">
        <v>1107.8</v>
      </c>
      <c r="C7" s="9">
        <v>16.45</v>
      </c>
      <c r="D7" s="15">
        <f t="shared" si="0"/>
        <v>182.23309999999998</v>
      </c>
      <c r="E7" s="13">
        <f t="shared" si="1"/>
        <v>0.16449999999999998</v>
      </c>
      <c r="F7" s="15">
        <f t="shared" si="2"/>
        <v>-39.56877435897448</v>
      </c>
      <c r="G7" s="15">
        <f t="shared" si="3"/>
        <v>1565.6879042714363</v>
      </c>
    </row>
    <row r="8" spans="1:7" x14ac:dyDescent="0.35">
      <c r="A8" s="3" t="s">
        <v>24</v>
      </c>
      <c r="B8" s="10">
        <v>1253.5999999999999</v>
      </c>
      <c r="C8" s="9">
        <v>14.36</v>
      </c>
      <c r="D8" s="15">
        <f t="shared" si="0"/>
        <v>180.01695999999995</v>
      </c>
      <c r="E8" s="13">
        <f t="shared" si="1"/>
        <v>0.14359999999999998</v>
      </c>
      <c r="F8" s="15">
        <f t="shared" si="2"/>
        <v>-41.784914358974504</v>
      </c>
      <c r="G8" s="15">
        <f t="shared" si="3"/>
        <v>1745.9790679868338</v>
      </c>
    </row>
    <row r="9" spans="1:7" x14ac:dyDescent="0.35">
      <c r="A9" s="3" t="s">
        <v>22</v>
      </c>
      <c r="B9" s="10">
        <v>1677.2</v>
      </c>
      <c r="C9" s="9">
        <v>13.81</v>
      </c>
      <c r="D9" s="15">
        <f t="shared" si="0"/>
        <v>231.62132000000003</v>
      </c>
      <c r="E9" s="13">
        <f t="shared" si="1"/>
        <v>0.1381</v>
      </c>
      <c r="F9" s="15">
        <f t="shared" si="2"/>
        <v>9.8194456410255668</v>
      </c>
      <c r="G9" s="15">
        <f t="shared" si="3"/>
        <v>96.421512697056002</v>
      </c>
    </row>
    <row r="10" spans="1:7" x14ac:dyDescent="0.35">
      <c r="A10" s="3" t="s">
        <v>29</v>
      </c>
      <c r="B10" s="10">
        <v>2715.6</v>
      </c>
      <c r="C10" s="9">
        <v>13.41</v>
      </c>
      <c r="D10" s="15">
        <f t="shared" si="0"/>
        <v>364.16195999999997</v>
      </c>
      <c r="E10" s="13">
        <f t="shared" si="1"/>
        <v>0.1341</v>
      </c>
      <c r="F10" s="15">
        <f t="shared" si="2"/>
        <v>142.36008564102551</v>
      </c>
      <c r="G10" s="15">
        <f t="shared" si="3"/>
        <v>20266.393983720118</v>
      </c>
    </row>
    <row r="11" spans="1:7" x14ac:dyDescent="0.35">
      <c r="A11" s="3" t="s">
        <v>2</v>
      </c>
      <c r="B11" s="10">
        <v>1139.0999999999999</v>
      </c>
      <c r="C11" s="9">
        <v>13.08</v>
      </c>
      <c r="D11" s="15">
        <f t="shared" si="0"/>
        <v>148.99427999999997</v>
      </c>
      <c r="E11" s="13">
        <f t="shared" si="1"/>
        <v>0.1308</v>
      </c>
      <c r="F11" s="15">
        <f t="shared" si="2"/>
        <v>-72.807594358974484</v>
      </c>
      <c r="G11" s="15">
        <f t="shared" si="3"/>
        <v>5300.9457963409732</v>
      </c>
    </row>
    <row r="12" spans="1:7" x14ac:dyDescent="0.35">
      <c r="A12" s="3" t="s">
        <v>12</v>
      </c>
      <c r="B12" s="10">
        <v>2586.8000000000002</v>
      </c>
      <c r="C12" s="9">
        <v>12.6</v>
      </c>
      <c r="D12" s="15">
        <f t="shared" si="0"/>
        <v>325.93680000000001</v>
      </c>
      <c r="E12" s="13">
        <f t="shared" si="1"/>
        <v>0.126</v>
      </c>
      <c r="F12" s="15">
        <f t="shared" si="2"/>
        <v>104.13492564102555</v>
      </c>
      <c r="G12" s="15">
        <f t="shared" si="3"/>
        <v>10844.082738261919</v>
      </c>
    </row>
    <row r="13" spans="1:7" x14ac:dyDescent="0.35">
      <c r="A13" s="3" t="s">
        <v>25</v>
      </c>
      <c r="B13" s="10">
        <v>1743.9</v>
      </c>
      <c r="C13" s="9">
        <v>12.16</v>
      </c>
      <c r="D13" s="15">
        <f t="shared" si="0"/>
        <v>212.05824000000001</v>
      </c>
      <c r="E13" s="13">
        <f t="shared" si="1"/>
        <v>0.1216</v>
      </c>
      <c r="F13" s="15">
        <f t="shared" si="2"/>
        <v>-9.7436343589744467</v>
      </c>
      <c r="G13" s="15">
        <f t="shared" si="3"/>
        <v>94.938410521387382</v>
      </c>
    </row>
    <row r="14" spans="1:7" x14ac:dyDescent="0.35">
      <c r="A14" s="3" t="s">
        <v>23</v>
      </c>
      <c r="B14" s="3">
        <v>788.2</v>
      </c>
      <c r="C14" s="9">
        <v>11.69</v>
      </c>
      <c r="D14" s="15">
        <f t="shared" si="0"/>
        <v>92.140580000000014</v>
      </c>
      <c r="E14" s="13">
        <f t="shared" si="1"/>
        <v>0.11690000000000002</v>
      </c>
      <c r="F14" s="15">
        <f t="shared" si="2"/>
        <v>-129.66129435897443</v>
      </c>
      <c r="G14" s="15">
        <f t="shared" si="3"/>
        <v>16812.051254844613</v>
      </c>
    </row>
    <row r="15" spans="1:7" x14ac:dyDescent="0.35">
      <c r="A15" s="3" t="s">
        <v>13</v>
      </c>
      <c r="B15" s="3">
        <v>697</v>
      </c>
      <c r="C15" s="9">
        <v>11.51</v>
      </c>
      <c r="D15" s="15">
        <f t="shared" si="0"/>
        <v>80.224699999999999</v>
      </c>
      <c r="E15" s="13">
        <f t="shared" si="1"/>
        <v>0.11509999999999999</v>
      </c>
      <c r="F15" s="15">
        <f t="shared" si="2"/>
        <v>-141.57717435897445</v>
      </c>
      <c r="G15" s="15">
        <f t="shared" si="3"/>
        <v>20044.09629947145</v>
      </c>
    </row>
    <row r="16" spans="1:7" x14ac:dyDescent="0.35">
      <c r="A16" s="3" t="s">
        <v>20</v>
      </c>
      <c r="B16" s="10">
        <v>1176.9000000000001</v>
      </c>
      <c r="C16" s="9">
        <v>10.63</v>
      </c>
      <c r="D16" s="15">
        <f t="shared" si="0"/>
        <v>125.10447000000002</v>
      </c>
      <c r="E16" s="13">
        <f t="shared" si="1"/>
        <v>0.10630000000000001</v>
      </c>
      <c r="F16" s="15">
        <f t="shared" si="2"/>
        <v>-96.697404358974438</v>
      </c>
      <c r="G16" s="15">
        <f t="shared" si="3"/>
        <v>9350.3880097630081</v>
      </c>
    </row>
    <row r="17" spans="1:7" x14ac:dyDescent="0.35">
      <c r="A17" s="3" t="s">
        <v>4</v>
      </c>
      <c r="B17" s="10">
        <v>1644.5</v>
      </c>
      <c r="C17" s="9">
        <v>10.5</v>
      </c>
      <c r="D17" s="15">
        <f t="shared" si="0"/>
        <v>172.67250000000001</v>
      </c>
      <c r="E17" s="13">
        <f t="shared" si="1"/>
        <v>0.10500000000000001</v>
      </c>
      <c r="F17" s="15">
        <f t="shared" si="2"/>
        <v>-49.129374358974445</v>
      </c>
      <c r="G17" s="15">
        <f t="shared" si="3"/>
        <v>2413.6954249042556</v>
      </c>
    </row>
    <row r="18" spans="1:7" x14ac:dyDescent="0.35">
      <c r="A18" s="3" t="s">
        <v>26</v>
      </c>
      <c r="B18" s="10">
        <v>2148.6</v>
      </c>
      <c r="C18" s="9">
        <v>10.32</v>
      </c>
      <c r="D18" s="15">
        <f t="shared" si="0"/>
        <v>221.73552000000001</v>
      </c>
      <c r="E18" s="13">
        <f t="shared" si="1"/>
        <v>0.10320000000000001</v>
      </c>
      <c r="F18" s="15">
        <f t="shared" si="2"/>
        <v>-6.6354358974450633E-2</v>
      </c>
      <c r="G18" s="15">
        <f t="shared" si="3"/>
        <v>4.4029009549102572E-3</v>
      </c>
    </row>
    <row r="19" spans="1:7" x14ac:dyDescent="0.35">
      <c r="A19" s="3" t="s">
        <v>19</v>
      </c>
      <c r="B19" s="10">
        <v>1145.4000000000001</v>
      </c>
      <c r="C19" s="9">
        <v>10.17</v>
      </c>
      <c r="D19" s="15">
        <f t="shared" si="0"/>
        <v>116.48718000000001</v>
      </c>
      <c r="E19" s="13">
        <f t="shared" si="1"/>
        <v>0.1017</v>
      </c>
      <c r="F19" s="15">
        <f t="shared" si="2"/>
        <v>-105.31469435897445</v>
      </c>
      <c r="G19" s="15">
        <f t="shared" si="3"/>
        <v>11091.184847924205</v>
      </c>
    </row>
    <row r="20" spans="1:7" x14ac:dyDescent="0.35">
      <c r="A20" s="3" t="s">
        <v>7</v>
      </c>
      <c r="B20" s="10">
        <v>1351.3</v>
      </c>
      <c r="C20" s="9">
        <v>9.9499999999999993</v>
      </c>
      <c r="D20" s="15">
        <f t="shared" si="0"/>
        <v>134.45435000000001</v>
      </c>
      <c r="E20" s="13">
        <f t="shared" si="1"/>
        <v>9.9500000000000005E-2</v>
      </c>
      <c r="F20" s="15">
        <f t="shared" si="2"/>
        <v>-87.347524358974454</v>
      </c>
      <c r="G20" s="15">
        <f t="shared" si="3"/>
        <v>7629.5900116416351</v>
      </c>
    </row>
    <row r="21" spans="1:7" x14ac:dyDescent="0.35">
      <c r="A21" s="3" t="s">
        <v>17</v>
      </c>
      <c r="B21" s="10">
        <v>1124.7</v>
      </c>
      <c r="C21" s="9">
        <v>9.3699999999999992</v>
      </c>
      <c r="D21" s="15">
        <f t="shared" si="0"/>
        <v>105.38439</v>
      </c>
      <c r="E21" s="13">
        <f t="shared" si="1"/>
        <v>9.3699999999999992E-2</v>
      </c>
      <c r="F21" s="15">
        <f t="shared" si="2"/>
        <v>-116.41748435897446</v>
      </c>
      <c r="G21" s="15">
        <f t="shared" si="3"/>
        <v>13553.030664472064</v>
      </c>
    </row>
    <row r="22" spans="1:7" x14ac:dyDescent="0.35">
      <c r="A22" s="3" t="s">
        <v>21</v>
      </c>
      <c r="B22" s="3">
        <v>754.5</v>
      </c>
      <c r="C22" s="9">
        <v>9.32</v>
      </c>
      <c r="D22" s="15">
        <f t="shared" si="0"/>
        <v>70.319400000000002</v>
      </c>
      <c r="E22" s="13">
        <f t="shared" si="1"/>
        <v>9.3200000000000005E-2</v>
      </c>
      <c r="F22" s="15">
        <f t="shared" si="2"/>
        <v>-151.48247435897446</v>
      </c>
      <c r="G22" s="15">
        <f t="shared" si="3"/>
        <v>22946.940037917353</v>
      </c>
    </row>
    <row r="23" spans="1:7" x14ac:dyDescent="0.35">
      <c r="A23" s="3" t="s">
        <v>3</v>
      </c>
      <c r="B23" s="3">
        <v>681.7</v>
      </c>
      <c r="C23" s="9">
        <v>9.11</v>
      </c>
      <c r="D23" s="15">
        <f t="shared" si="0"/>
        <v>62.102870000000003</v>
      </c>
      <c r="E23" s="13">
        <f t="shared" si="1"/>
        <v>9.11E-2</v>
      </c>
      <c r="F23" s="15">
        <f t="shared" si="2"/>
        <v>-159.69900435897446</v>
      </c>
      <c r="G23" s="15">
        <f t="shared" si="3"/>
        <v>25503.771993247745</v>
      </c>
    </row>
    <row r="24" spans="1:7" x14ac:dyDescent="0.35">
      <c r="A24" s="3" t="s">
        <v>10</v>
      </c>
      <c r="B24" s="3">
        <v>880.7</v>
      </c>
      <c r="C24" s="9">
        <v>9.01</v>
      </c>
      <c r="D24" s="15">
        <f t="shared" si="0"/>
        <v>79.351069999999993</v>
      </c>
      <c r="E24" s="13">
        <f t="shared" si="1"/>
        <v>9.0099999999999986E-2</v>
      </c>
      <c r="F24" s="15">
        <f t="shared" si="2"/>
        <v>-142.45080435897447</v>
      </c>
      <c r="G24" s="15">
        <f t="shared" si="3"/>
        <v>20292.231662518818</v>
      </c>
    </row>
    <row r="25" spans="1:7" x14ac:dyDescent="0.35">
      <c r="A25" s="3" t="s">
        <v>8</v>
      </c>
      <c r="B25" s="10">
        <v>1319.6</v>
      </c>
      <c r="C25" s="9">
        <v>8.98</v>
      </c>
      <c r="D25" s="15">
        <f t="shared" si="0"/>
        <v>118.50008</v>
      </c>
      <c r="E25" s="13">
        <f t="shared" si="1"/>
        <v>8.9800000000000005E-2</v>
      </c>
      <c r="F25" s="15">
        <f t="shared" si="2"/>
        <v>-103.30179435897446</v>
      </c>
      <c r="G25" s="15">
        <f t="shared" si="3"/>
        <v>10671.260717783847</v>
      </c>
    </row>
    <row r="26" spans="1:7" x14ac:dyDescent="0.35">
      <c r="A26" s="3" t="s">
        <v>9</v>
      </c>
      <c r="B26" s="10">
        <v>1218.5999999999999</v>
      </c>
      <c r="C26" s="9">
        <v>8.65</v>
      </c>
      <c r="D26" s="15">
        <f t="shared" si="0"/>
        <v>105.40889999999999</v>
      </c>
      <c r="E26" s="13">
        <f t="shared" si="1"/>
        <v>8.6499999999999994E-2</v>
      </c>
      <c r="F26" s="15">
        <f t="shared" si="2"/>
        <v>-116.39297435897447</v>
      </c>
      <c r="G26" s="15">
        <f t="shared" si="3"/>
        <v>13547.324480128889</v>
      </c>
    </row>
    <row r="27" spans="1:7" x14ac:dyDescent="0.35">
      <c r="A27" s="3" t="s">
        <v>34</v>
      </c>
      <c r="B27" s="10">
        <v>1369.5</v>
      </c>
      <c r="C27" s="9">
        <v>8.6300000000000008</v>
      </c>
      <c r="D27" s="15">
        <f t="shared" si="0"/>
        <v>118.18785000000001</v>
      </c>
      <c r="E27" s="13">
        <f t="shared" si="1"/>
        <v>8.6300000000000002E-2</v>
      </c>
      <c r="F27" s="15">
        <f t="shared" si="2"/>
        <v>-103.61402435897445</v>
      </c>
      <c r="G27" s="15">
        <f t="shared" si="3"/>
        <v>10735.86604386215</v>
      </c>
    </row>
    <row r="28" spans="1:7" x14ac:dyDescent="0.35">
      <c r="A28" s="3" t="s">
        <v>18</v>
      </c>
      <c r="B28" s="10">
        <v>1350.4</v>
      </c>
      <c r="C28" s="9">
        <v>8.6</v>
      </c>
      <c r="D28" s="15">
        <f t="shared" si="0"/>
        <v>116.1344</v>
      </c>
      <c r="E28" s="13">
        <f t="shared" si="1"/>
        <v>8.5999999999999993E-2</v>
      </c>
      <c r="F28" s="15">
        <f t="shared" si="2"/>
        <v>-105.66747435897446</v>
      </c>
      <c r="G28" s="15">
        <f t="shared" si="3"/>
        <v>11165.615137404526</v>
      </c>
    </row>
    <row r="29" spans="1:7" x14ac:dyDescent="0.35">
      <c r="A29" s="3" t="s">
        <v>6</v>
      </c>
      <c r="B29" s="10">
        <v>1091.8</v>
      </c>
      <c r="C29" s="9">
        <v>8.16</v>
      </c>
      <c r="D29" s="15">
        <f t="shared" si="0"/>
        <v>89.090879999999999</v>
      </c>
      <c r="E29" s="13">
        <f t="shared" si="1"/>
        <v>8.1600000000000006E-2</v>
      </c>
      <c r="F29" s="15">
        <f t="shared" si="2"/>
        <v>-132.71099435897446</v>
      </c>
      <c r="G29" s="15">
        <f t="shared" si="3"/>
        <v>17612.208023747749</v>
      </c>
    </row>
    <row r="30" spans="1:7" x14ac:dyDescent="0.35">
      <c r="A30" s="3" t="s">
        <v>6</v>
      </c>
      <c r="B30" s="10">
        <v>1004.5</v>
      </c>
      <c r="C30" s="9">
        <v>6.75</v>
      </c>
      <c r="D30" s="15">
        <f t="shared" si="0"/>
        <v>67.803749999999994</v>
      </c>
      <c r="E30" s="13">
        <f t="shared" si="1"/>
        <v>6.7499999999999991E-2</v>
      </c>
      <c r="F30" s="15">
        <f t="shared" si="2"/>
        <v>-153.99812435897445</v>
      </c>
      <c r="G30" s="15">
        <f t="shared" si="3"/>
        <v>23715.422306082161</v>
      </c>
    </row>
    <row r="31" spans="1:7" x14ac:dyDescent="0.35">
      <c r="A31" s="3" t="s">
        <v>11</v>
      </c>
      <c r="B31" s="3">
        <v>875.8</v>
      </c>
      <c r="C31" s="9">
        <v>6.54</v>
      </c>
      <c r="D31" s="15">
        <f t="shared" si="0"/>
        <v>57.277320000000003</v>
      </c>
      <c r="E31" s="13">
        <f t="shared" si="1"/>
        <v>6.5400000000000014E-2</v>
      </c>
      <c r="F31" s="15">
        <f t="shared" si="2"/>
        <v>-164.52455435897446</v>
      </c>
      <c r="G31" s="15">
        <f t="shared" si="3"/>
        <v>27068.32898701914</v>
      </c>
    </row>
    <row r="32" spans="1:7" x14ac:dyDescent="0.35">
      <c r="A32" s="3" t="s">
        <v>7</v>
      </c>
      <c r="B32" s="10">
        <v>1146.5999999999999</v>
      </c>
      <c r="C32" s="9">
        <v>6.51</v>
      </c>
      <c r="D32" s="15">
        <f t="shared" si="0"/>
        <v>74.643659999999997</v>
      </c>
      <c r="E32" s="13">
        <f t="shared" si="1"/>
        <v>6.5100000000000005E-2</v>
      </c>
      <c r="F32" s="15">
        <f t="shared" si="2"/>
        <v>-147.15821435897448</v>
      </c>
      <c r="G32" s="15">
        <f t="shared" si="3"/>
        <v>21655.540053321882</v>
      </c>
    </row>
    <row r="33" spans="1:7" x14ac:dyDescent="0.35">
      <c r="A33" s="3" t="s">
        <v>15</v>
      </c>
      <c r="B33" s="3">
        <v>295.2</v>
      </c>
      <c r="C33" s="9">
        <v>6.32</v>
      </c>
      <c r="D33" s="15">
        <f t="shared" si="0"/>
        <v>18.656639999999999</v>
      </c>
      <c r="E33" s="13">
        <f t="shared" si="1"/>
        <v>6.3200000000000006E-2</v>
      </c>
      <c r="F33" s="15">
        <f t="shared" si="2"/>
        <v>-203.14523435897445</v>
      </c>
      <c r="G33" s="15">
        <f t="shared" si="3"/>
        <v>41267.98624276265</v>
      </c>
    </row>
    <row r="34" spans="1:7" x14ac:dyDescent="0.35">
      <c r="A34" s="3" t="s">
        <v>5</v>
      </c>
      <c r="B34" s="3">
        <v>153.4</v>
      </c>
      <c r="C34" s="9">
        <v>6.28</v>
      </c>
      <c r="D34" s="15">
        <f t="shared" si="0"/>
        <v>9.6335200000000007</v>
      </c>
      <c r="E34" s="13">
        <f t="shared" si="1"/>
        <v>6.2800000000000009E-2</v>
      </c>
      <c r="F34" s="15">
        <f t="shared" si="2"/>
        <v>-212.16835435897445</v>
      </c>
      <c r="G34" s="15">
        <f t="shared" si="3"/>
        <v>45015.410591395354</v>
      </c>
    </row>
    <row r="35" spans="1:7" x14ac:dyDescent="0.35">
      <c r="A35" s="3" t="s">
        <v>14</v>
      </c>
      <c r="B35" s="3">
        <v>865.3</v>
      </c>
      <c r="C35" s="9">
        <v>6.18</v>
      </c>
      <c r="D35" s="15">
        <f t="shared" si="0"/>
        <v>53.475539999999995</v>
      </c>
      <c r="E35" s="13">
        <f t="shared" si="1"/>
        <v>6.1800000000000001E-2</v>
      </c>
      <c r="F35" s="15">
        <f t="shared" si="2"/>
        <v>-168.32633435897446</v>
      </c>
      <c r="G35" s="15">
        <f t="shared" si="3"/>
        <v>28333.754838729266</v>
      </c>
    </row>
    <row r="36" spans="1:7" x14ac:dyDescent="0.35">
      <c r="A36" s="3" t="s">
        <v>17</v>
      </c>
      <c r="B36" s="3">
        <v>247</v>
      </c>
      <c r="C36" s="9">
        <v>5.57</v>
      </c>
      <c r="D36" s="15">
        <f t="shared" si="0"/>
        <v>13.757899999999999</v>
      </c>
      <c r="E36" s="13">
        <f t="shared" si="1"/>
        <v>5.57E-2</v>
      </c>
      <c r="F36" s="15">
        <f t="shared" si="2"/>
        <v>-208.04397435897445</v>
      </c>
      <c r="G36" s="15">
        <f t="shared" si="3"/>
        <v>43282.295267077621</v>
      </c>
    </row>
    <row r="37" spans="1:7" x14ac:dyDescent="0.35">
      <c r="A37" s="3" t="s">
        <v>16</v>
      </c>
      <c r="B37" s="3">
        <v>216.4</v>
      </c>
      <c r="C37" s="9">
        <v>4.53</v>
      </c>
      <c r="D37" s="15">
        <f t="shared" si="0"/>
        <v>9.8029200000000003</v>
      </c>
      <c r="E37" s="13">
        <f t="shared" si="1"/>
        <v>4.53E-2</v>
      </c>
      <c r="F37" s="15">
        <f t="shared" si="2"/>
        <v>-211.99895435897446</v>
      </c>
      <c r="G37" s="15">
        <f t="shared" si="3"/>
        <v>44943.556649298538</v>
      </c>
    </row>
    <row r="38" spans="1:7" x14ac:dyDescent="0.35">
      <c r="A38" s="3" t="s">
        <v>20</v>
      </c>
      <c r="B38" s="3">
        <v>136.1</v>
      </c>
      <c r="C38" s="9">
        <v>4.38</v>
      </c>
      <c r="D38" s="15">
        <f t="shared" si="0"/>
        <v>5.9611799999999997</v>
      </c>
      <c r="E38" s="13">
        <f t="shared" si="1"/>
        <v>4.3799999999999999E-2</v>
      </c>
      <c r="F38" s="15">
        <f t="shared" si="2"/>
        <v>-215.84069435897445</v>
      </c>
      <c r="G38" s="15">
        <f t="shared" si="3"/>
        <v>46587.205341364221</v>
      </c>
    </row>
    <row r="39" spans="1:7" x14ac:dyDescent="0.35">
      <c r="A39" s="3" t="s">
        <v>31</v>
      </c>
      <c r="B39" s="3">
        <v>200</v>
      </c>
      <c r="C39" s="9">
        <v>3.96</v>
      </c>
      <c r="D39" s="15">
        <f t="shared" si="0"/>
        <v>7.92</v>
      </c>
      <c r="E39" s="13">
        <f t="shared" si="1"/>
        <v>3.9599999999999996E-2</v>
      </c>
      <c r="F39" s="15">
        <f t="shared" si="2"/>
        <v>-213.88187435897447</v>
      </c>
      <c r="G39" s="15">
        <f t="shared" si="3"/>
        <v>45745.456179308145</v>
      </c>
    </row>
    <row r="40" spans="1:7" x14ac:dyDescent="0.35">
      <c r="A40" s="3" t="s">
        <v>8</v>
      </c>
      <c r="B40" s="10">
        <v>2911.4</v>
      </c>
      <c r="C40" s="9">
        <v>3.91</v>
      </c>
      <c r="D40" s="15">
        <f t="shared" si="0"/>
        <v>113.83574</v>
      </c>
      <c r="E40" s="13">
        <f t="shared" si="1"/>
        <v>3.9099999999999996E-2</v>
      </c>
      <c r="F40" s="15">
        <f t="shared" si="2"/>
        <v>-107.96613435897446</v>
      </c>
      <c r="G40" s="15">
        <f t="shared" si="3"/>
        <v>11656.686168420125</v>
      </c>
    </row>
    <row r="41" spans="1:7" x14ac:dyDescent="0.35">
      <c r="A41" s="3" t="s">
        <v>32</v>
      </c>
      <c r="B41" s="3">
        <v>220.2</v>
      </c>
      <c r="C41" s="9">
        <v>3.06</v>
      </c>
      <c r="D41" s="15">
        <f t="shared" si="0"/>
        <v>6.7381200000000003</v>
      </c>
      <c r="E41" s="13">
        <f t="shared" si="1"/>
        <v>3.0600000000000002E-2</v>
      </c>
      <c r="F41" s="15">
        <f t="shared" si="2"/>
        <v>-215.06375435897445</v>
      </c>
      <c r="G41" s="15">
        <f t="shared" si="3"/>
        <v>46252.4184389773</v>
      </c>
    </row>
    <row r="42" spans="1:7" x14ac:dyDescent="0.35">
      <c r="C42" s="11" t="s">
        <v>40</v>
      </c>
      <c r="D42" s="14">
        <f>SUM(D4:D41)</f>
        <v>4325.136550000002</v>
      </c>
    </row>
    <row r="43" spans="1:7" x14ac:dyDescent="0.35">
      <c r="C43" s="11" t="s">
        <v>41</v>
      </c>
      <c r="D43" s="14">
        <f>AVERAGE(D4:D42)</f>
        <v>221.80187435897446</v>
      </c>
    </row>
    <row r="44" spans="1:7" x14ac:dyDescent="0.35">
      <c r="C44" s="11" t="s">
        <v>42</v>
      </c>
      <c r="D44" s="11">
        <f>SUM(E4:E41)</f>
        <v>3.7173000000000003</v>
      </c>
    </row>
    <row r="45" spans="1:7" x14ac:dyDescent="0.35">
      <c r="C45" s="11" t="s">
        <v>37</v>
      </c>
      <c r="D45" s="14">
        <f>D44/38</f>
        <v>9.7823684210526327E-2</v>
      </c>
    </row>
    <row r="46" spans="1:7" x14ac:dyDescent="0.35">
      <c r="C46" s="11" t="s">
        <v>43</v>
      </c>
      <c r="D46" s="14">
        <f>SUM(G4:G41)</f>
        <v>698603.84460813052</v>
      </c>
    </row>
    <row r="47" spans="1:7" x14ac:dyDescent="0.35">
      <c r="C47" s="11" t="s">
        <v>44</v>
      </c>
      <c r="D47" s="14">
        <f>D46/37</f>
        <v>18881.184989408932</v>
      </c>
    </row>
    <row r="48" spans="1:7" x14ac:dyDescent="0.35">
      <c r="C48" s="4" t="s">
        <v>45</v>
      </c>
      <c r="D48" s="16">
        <f>1-D45</f>
        <v>0.90217631578947366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Eka Putri</dc:creator>
  <cp:lastModifiedBy>Oktaviani Eka Putri</cp:lastModifiedBy>
  <dcterms:created xsi:type="dcterms:W3CDTF">2026-05-24T08:54:53Z</dcterms:created>
  <dcterms:modified xsi:type="dcterms:W3CDTF">2026-05-25T09:20:34Z</dcterms:modified>
</cp:coreProperties>
</file>